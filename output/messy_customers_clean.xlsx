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Data" sheetId="1" state="visible" r:id="rId1"/>
    <sheet xmlns:r="http://schemas.openxmlformats.org/officeDocument/2006/relationships" name="Removed Duplicate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Cleaning Summary" sheetId="4" state="visible" r:id="rId4"/>
  </sheets>
  <definedNames>
    <definedName name="_xlnm._FilterDatabase" localSheetId="0" hidden="1">'Clean Data'!$A$1:$I$16</definedName>
    <definedName name="_xlnm._FilterDatabase" localSheetId="1" hidden="1">'Removed Duplicates'!$A$1:$K$8</definedName>
    <definedName name="_xlnm._FilterDatabase" localSheetId="2" hidden="1">'Issues'!$A$1:$D$3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3864"/>
      <sz val="14"/>
    </font>
    <font>
      <name val="Arial"/>
      <i val="1"/>
      <color rgb="00666666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0" borderId="0" pivotButton="0" quotePrefix="0" xfId="0"/>
    <xf numFmtId="164" fontId="1" fillId="0" borderId="0" pivotButton="0" quotePrefix="0" xfId="0"/>
    <xf numFmtId="4" fontId="1" fillId="0" borderId="0" pivotButton="0" quotePrefix="0" xfId="0"/>
    <xf numFmtId="0" fontId="1" fillId="3" borderId="0" pivotButton="0" quotePrefix="0" xfId="0"/>
    <xf numFmtId="3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0" fillId="4" borderId="0" pivotButton="0" quotePrefix="0" xfId="0"/>
    <xf numFmtId="0" fontId="1" fillId="0" borderId="0" applyAlignment="1" pivotButton="0" quotePrefix="0" xfId="0">
      <alignment horizontal="left"/>
    </xf>
    <xf numFmtId="0" fontId="5" fillId="0" borderId="0" pivotButton="0" quotePrefix="0" xfId="0"/>
    <xf numFmtId="0" fontId="5" fillId="0" borderId="0" applyAlignment="1" pivotButton="0" quotePrefix="0" xfId="0">
      <alignment horizontal="left"/>
    </xf>
    <xf numFmtId="0" fontId="2" fillId="2" borderId="0" pivotButton="0" quotePrefix="0" xfId="0"/>
    <xf numFmtId="9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15" customWidth="1" min="4" max="4"/>
    <col width="13" customWidth="1" min="5" max="5"/>
    <col width="11" customWidth="1" min="6" max="6"/>
    <col width="16" customWidth="1" min="7" max="7"/>
    <col width="17" customWidth="1" min="8" max="8"/>
    <col width="10" customWidth="1" min="9" max="9"/>
  </cols>
  <sheetData>
    <row r="1">
      <c r="A1" s="1" t="inlineStr">
        <is>
          <t>source_row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signup_date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order_amount_rs</t>
        </is>
      </c>
      <c r="I1" s="1" t="inlineStr">
        <is>
          <t>status</t>
        </is>
      </c>
    </row>
    <row r="2">
      <c r="A2" s="2" t="n">
        <v>5</v>
      </c>
      <c r="B2" s="2" t="inlineStr">
        <is>
          <t>Ayesha Khan</t>
        </is>
      </c>
      <c r="C2" s="2" t="inlineStr">
        <is>
          <t>ayesha.khan@gmail.com</t>
        </is>
      </c>
      <c r="D2" s="2" t="inlineStr">
        <is>
          <t>+923001234567</t>
        </is>
      </c>
      <c r="E2" s="3" t="n">
        <v>45790</v>
      </c>
      <c r="F2" s="2" t="inlineStr">
        <is>
          <t>Karachi</t>
        </is>
      </c>
      <c r="G2" s="2" t="inlineStr">
        <is>
          <t>Pakistan</t>
        </is>
      </c>
      <c r="H2" s="4" t="n">
        <v>12500</v>
      </c>
      <c r="I2" s="2" t="inlineStr">
        <is>
          <t>Active</t>
        </is>
      </c>
    </row>
    <row r="3">
      <c r="A3" s="2" t="n">
        <v>6</v>
      </c>
      <c r="B3" s="2" t="inlineStr">
        <is>
          <t>Bilal Ahmed</t>
        </is>
      </c>
      <c r="C3" s="2" t="inlineStr">
        <is>
          <t>bilal.ahmed@outlook.com</t>
        </is>
      </c>
      <c r="D3" s="2" t="inlineStr">
        <is>
          <t>+923217654321</t>
        </is>
      </c>
      <c r="E3" s="3" t="n">
        <v>45699</v>
      </c>
      <c r="F3" s="2" t="inlineStr">
        <is>
          <t>Hyderabad</t>
        </is>
      </c>
      <c r="G3" s="2" t="inlineStr">
        <is>
          <t>Pakistan</t>
        </is>
      </c>
      <c r="H3" s="4" t="n">
        <v>8000</v>
      </c>
      <c r="I3" s="2" t="inlineStr">
        <is>
          <t>Active</t>
        </is>
      </c>
    </row>
    <row r="4">
      <c r="A4" s="2" t="n">
        <v>7</v>
      </c>
      <c r="B4" s="2" t="inlineStr">
        <is>
          <t>Sana Malik</t>
        </is>
      </c>
      <c r="C4" s="2" t="inlineStr">
        <is>
          <t>sana.malik@yahoo.com</t>
        </is>
      </c>
      <c r="D4" s="2" t="inlineStr">
        <is>
          <t>+923331112233</t>
        </is>
      </c>
      <c r="E4" s="3" t="n">
        <v>45662</v>
      </c>
      <c r="F4" s="2" t="inlineStr">
        <is>
          <t>Lahore</t>
        </is>
      </c>
      <c r="G4" s="2" t="inlineStr">
        <is>
          <t>Pakistan</t>
        </is>
      </c>
      <c r="H4" s="4" t="n">
        <v>25750.5</v>
      </c>
      <c r="I4" s="2" t="inlineStr">
        <is>
          <t>Active</t>
        </is>
      </c>
    </row>
    <row r="5">
      <c r="A5" s="2" t="n">
        <v>8</v>
      </c>
      <c r="B5" s="2" t="inlineStr">
        <is>
          <t>Usman Ali</t>
        </is>
      </c>
      <c r="C5" s="2" t="inlineStr">
        <is>
          <t>usman.ali@gmail.com</t>
        </is>
      </c>
      <c r="D5" s="2" t="inlineStr">
        <is>
          <t>+923451239876</t>
        </is>
      </c>
      <c r="E5" s="3" t="n">
        <v>45860</v>
      </c>
      <c r="F5" s="2" t="inlineStr">
        <is>
          <t>Jamshoro</t>
        </is>
      </c>
      <c r="G5" s="2" t="inlineStr">
        <is>
          <t>Pakistan</t>
        </is>
      </c>
      <c r="H5" s="4" t="n"/>
      <c r="I5" s="2" t="inlineStr">
        <is>
          <t>Inactive</t>
        </is>
      </c>
    </row>
    <row r="6">
      <c r="A6" s="2" t="n">
        <v>9</v>
      </c>
      <c r="B6" s="2" t="inlineStr">
        <is>
          <t>Fatima Noor</t>
        </is>
      </c>
      <c r="C6" s="2" t="inlineStr">
        <is>
          <t>fatima.noor@gmail.com</t>
        </is>
      </c>
      <c r="D6" s="2" t="inlineStr">
        <is>
          <t>+923129988776</t>
        </is>
      </c>
      <c r="E6" s="3" t="n">
        <v>45899</v>
      </c>
      <c r="F6" s="2" t="inlineStr">
        <is>
          <t>Sukkur</t>
        </is>
      </c>
      <c r="G6" s="2" t="inlineStr">
        <is>
          <t>Pakistan</t>
        </is>
      </c>
      <c r="H6" s="4" t="n">
        <v>15000</v>
      </c>
      <c r="I6" s="2" t="inlineStr">
        <is>
          <t>Active</t>
        </is>
      </c>
    </row>
    <row r="7">
      <c r="A7" s="2" t="n">
        <v>10</v>
      </c>
      <c r="B7" s="2" t="inlineStr">
        <is>
          <t>Hassan Raza</t>
        </is>
      </c>
      <c r="C7" s="2" t="inlineStr">
        <is>
          <t>hassan.raza@company.pk</t>
        </is>
      </c>
      <c r="D7" s="2" t="inlineStr">
        <is>
          <t>+923015554433</t>
        </is>
      </c>
      <c r="E7" s="3" t="n">
        <v>45627</v>
      </c>
      <c r="F7" s="2" t="inlineStr">
        <is>
          <t>Karachi</t>
        </is>
      </c>
      <c r="G7" s="2" t="inlineStr">
        <is>
          <t>Pakistan</t>
        </is>
      </c>
      <c r="H7" s="4" t="n">
        <v>-2500</v>
      </c>
      <c r="I7" s="2" t="inlineStr">
        <is>
          <t>Inactive</t>
        </is>
      </c>
    </row>
    <row r="8">
      <c r="A8" s="2" t="n">
        <v>12</v>
      </c>
      <c r="B8" s="2" t="inlineStr">
        <is>
          <t>Zainab Shah</t>
        </is>
      </c>
      <c r="C8" s="2" t="inlineStr">
        <is>
          <t>zainab.shah@gmail.com</t>
        </is>
      </c>
      <c r="D8" s="2" t="inlineStr">
        <is>
          <t>+923334445566</t>
        </is>
      </c>
      <c r="E8" s="3" t="n">
        <v>45733</v>
      </c>
      <c r="F8" s="2" t="inlineStr">
        <is>
          <t>Larkana</t>
        </is>
      </c>
      <c r="G8" s="2" t="inlineStr">
        <is>
          <t>Pakistan</t>
        </is>
      </c>
      <c r="H8" s="4" t="n">
        <v>9999</v>
      </c>
      <c r="I8" s="2" t="inlineStr">
        <is>
          <t>Active</t>
        </is>
      </c>
    </row>
    <row r="9">
      <c r="A9" s="2" t="n">
        <v>13</v>
      </c>
      <c r="B9" s="2" t="inlineStr">
        <is>
          <t>Omar Farooq</t>
        </is>
      </c>
      <c r="C9" s="2" t="inlineStr">
        <is>
          <t>omar.farooq@hotmail.com</t>
        </is>
      </c>
      <c r="D9" s="2" t="inlineStr">
        <is>
          <t>+923221239870</t>
        </is>
      </c>
      <c r="E9" s="3" t="n">
        <v>45909</v>
      </c>
      <c r="F9" s="2" t="inlineStr">
        <is>
          <t>Lahore</t>
        </is>
      </c>
      <c r="G9" s="2" t="inlineStr">
        <is>
          <t>Pakistan</t>
        </is>
      </c>
      <c r="H9" s="4" t="n">
        <v>31200</v>
      </c>
      <c r="I9" s="2" t="inlineStr">
        <is>
          <t>Active</t>
        </is>
      </c>
    </row>
    <row r="10">
      <c r="A10" s="2" t="n">
        <v>14</v>
      </c>
      <c r="B10" s="2" t="inlineStr">
        <is>
          <t>Mariam Siddiqui</t>
        </is>
      </c>
      <c r="C10" s="2" t="inlineStr">
        <is>
          <t>mariam.s@gmail.com</t>
        </is>
      </c>
      <c r="D10" s="2" t="inlineStr">
        <is>
          <t>+923156677889</t>
        </is>
      </c>
      <c r="E10" s="3" t="n">
        <v>45975</v>
      </c>
      <c r="F10" s="2" t="inlineStr">
        <is>
          <t>Karachi</t>
        </is>
      </c>
      <c r="G10" s="2" t="inlineStr">
        <is>
          <t>Pakistan</t>
        </is>
      </c>
      <c r="H10" s="4" t="n">
        <v>7450</v>
      </c>
      <c r="I10" s="2" t="inlineStr">
        <is>
          <t>Active</t>
        </is>
      </c>
    </row>
    <row r="11">
      <c r="A11" s="2" t="n">
        <v>15</v>
      </c>
      <c r="B11" s="2" t="inlineStr">
        <is>
          <t>Imran Qureshi</t>
        </is>
      </c>
      <c r="C11" s="2" t="inlineStr">
        <is>
          <t>imran.qureshi@gmail.com</t>
        </is>
      </c>
      <c r="D11" s="2" t="inlineStr">
        <is>
          <t>+923002223344</t>
        </is>
      </c>
      <c r="E11" s="3" t="n">
        <v>45809</v>
      </c>
      <c r="F11" s="2" t="inlineStr">
        <is>
          <t>Hyderabad</t>
        </is>
      </c>
      <c r="G11" s="2" t="inlineStr">
        <is>
          <t>Pakistan</t>
        </is>
      </c>
      <c r="H11" s="4" t="n">
        <v>18000</v>
      </c>
      <c r="I11" s="2" t="inlineStr">
        <is>
          <t>Active</t>
        </is>
      </c>
    </row>
    <row r="12">
      <c r="A12" s="2" t="n">
        <v>16</v>
      </c>
      <c r="B12" s="2" t="inlineStr">
        <is>
          <t>Hina Baloch</t>
        </is>
      </c>
      <c r="C12" s="2" t="inlineStr">
        <is>
          <t>hina.baloch@gmail.com</t>
        </is>
      </c>
      <c r="D12" s="2" t="inlineStr">
        <is>
          <t>+923458889900</t>
        </is>
      </c>
      <c r="E12" s="3" t="n">
        <v>45716</v>
      </c>
      <c r="F12" s="2" t="inlineStr">
        <is>
          <t>Quetta</t>
        </is>
      </c>
      <c r="G12" s="2" t="inlineStr">
        <is>
          <t>Pakistan</t>
        </is>
      </c>
      <c r="H12" s="4" t="n"/>
      <c r="I12" s="2" t="inlineStr">
        <is>
          <t>Inactive</t>
        </is>
      </c>
    </row>
    <row r="13">
      <c r="A13" s="2" t="n">
        <v>17</v>
      </c>
      <c r="B13" s="2" t="inlineStr">
        <is>
          <t>Danish Memon</t>
        </is>
      </c>
      <c r="C13" s="2" t="inlineStr">
        <is>
          <t>danish.memon@gmail.com</t>
        </is>
      </c>
      <c r="D13" s="2" t="inlineStr">
        <is>
          <t>+923317776655</t>
        </is>
      </c>
      <c r="E13" s="3" t="n">
        <v>45766</v>
      </c>
      <c r="F13" s="2" t="inlineStr">
        <is>
          <t>Jamshoro</t>
        </is>
      </c>
      <c r="G13" s="2" t="inlineStr">
        <is>
          <t>Pakistan</t>
        </is>
      </c>
      <c r="H13" s="4" t="n">
        <v>42300</v>
      </c>
      <c r="I13" s="2" t="inlineStr">
        <is>
          <t>Active</t>
        </is>
      </c>
    </row>
    <row r="14">
      <c r="A14" s="2" t="n">
        <v>18</v>
      </c>
      <c r="B14" s="2" t="inlineStr">
        <is>
          <t>Noor Jehan</t>
        </is>
      </c>
      <c r="C14" s="2" t="inlineStr">
        <is>
          <t>noor.jehan@gmail.com</t>
        </is>
      </c>
      <c r="D14" s="2" t="inlineStr">
        <is>
          <t>+923021010101</t>
        </is>
      </c>
      <c r="E14" s="5" t="inlineStr">
        <is>
          <t>not sure</t>
        </is>
      </c>
      <c r="F14" s="2" t="inlineStr">
        <is>
          <t>Karachi</t>
        </is>
      </c>
      <c r="G14" s="2" t="inlineStr">
        <is>
          <t>Pakistan</t>
        </is>
      </c>
      <c r="H14" s="4" t="n">
        <v>5000</v>
      </c>
      <c r="I14" s="2" t="inlineStr">
        <is>
          <t>Active</t>
        </is>
      </c>
    </row>
    <row r="15">
      <c r="A15" s="2" t="n">
        <v>20</v>
      </c>
      <c r="B15" s="2" t="inlineStr">
        <is>
          <t>Kamran Abbasi</t>
        </is>
      </c>
      <c r="C15" s="5" t="inlineStr">
        <is>
          <t>kamran.abbasi.gmail.com</t>
        </is>
      </c>
      <c r="D15" s="2" t="inlineStr">
        <is>
          <t>+923112020202</t>
        </is>
      </c>
      <c r="E15" s="3" t="n">
        <v>45638</v>
      </c>
      <c r="F15" s="2" t="inlineStr">
        <is>
          <t>Islamabad</t>
        </is>
      </c>
      <c r="G15" s="2" t="inlineStr">
        <is>
          <t>Pakistan</t>
        </is>
      </c>
      <c r="H15" s="4" t="n">
        <v>6100</v>
      </c>
      <c r="I15" s="2" t="inlineStr">
        <is>
          <t>Active</t>
        </is>
      </c>
    </row>
    <row r="16">
      <c r="A16" s="2" t="n">
        <v>21</v>
      </c>
      <c r="B16" s="2" t="inlineStr">
        <is>
          <t>Sara Lund</t>
        </is>
      </c>
      <c r="C16" s="2" t="inlineStr">
        <is>
          <t>sara.lund@example.co.uk</t>
        </is>
      </c>
      <c r="D16" s="2" t="inlineStr">
        <is>
          <t>+447700900123</t>
        </is>
      </c>
      <c r="E16" s="3" t="n">
        <v>45720</v>
      </c>
      <c r="F16" s="2" t="inlineStr">
        <is>
          <t>London</t>
        </is>
      </c>
      <c r="G16" s="2" t="inlineStr">
        <is>
          <t>United Kingdom</t>
        </is>
      </c>
      <c r="H16" s="4" t="n">
        <v>14800</v>
      </c>
      <c r="I16" s="2" t="inlineStr">
        <is>
          <t>Active</t>
        </is>
      </c>
    </row>
  </sheetData>
  <autoFilter ref="A1:I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5" customWidth="1" min="4" max="4"/>
    <col width="25" customWidth="1" min="5" max="5"/>
    <col width="15" customWidth="1" min="6" max="6"/>
    <col width="13" customWidth="1" min="7" max="7"/>
    <col width="10" customWidth="1" min="8" max="8"/>
    <col width="10" customWidth="1" min="9" max="9"/>
    <col width="17" customWidth="1" min="10" max="10"/>
    <col width="10" customWidth="1" min="11" max="11"/>
  </cols>
  <sheetData>
    <row r="1">
      <c r="A1" s="1" t="inlineStr">
        <is>
          <t>source_row</t>
        </is>
      </c>
      <c r="B1" s="1" t="inlineStr">
        <is>
          <t>removed_reason</t>
        </is>
      </c>
      <c r="C1" s="1" t="inlineStr">
        <is>
          <t>kept_source_row</t>
        </is>
      </c>
      <c r="D1" s="1" t="inlineStr">
        <is>
          <t>customer_name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signup_date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order_amount_rs</t>
        </is>
      </c>
      <c r="K1" s="1" t="inlineStr">
        <is>
          <t>status</t>
        </is>
      </c>
    </row>
    <row r="2">
      <c r="A2" s="2" t="n">
        <v>22</v>
      </c>
      <c r="B2" s="2" t="inlineStr">
        <is>
          <t>Exact duplicate</t>
        </is>
      </c>
      <c r="C2" s="2" t="n">
        <v>5</v>
      </c>
      <c r="D2" s="2" t="inlineStr">
        <is>
          <t>Ayesha Khan</t>
        </is>
      </c>
      <c r="E2" s="2" t="inlineStr">
        <is>
          <t>ayesha.khan@gmail.com</t>
        </is>
      </c>
      <c r="F2" s="2" t="inlineStr">
        <is>
          <t>+923001234567</t>
        </is>
      </c>
      <c r="G2" s="3" t="n">
        <v>45790</v>
      </c>
      <c r="H2" s="2" t="inlineStr">
        <is>
          <t>Karachi</t>
        </is>
      </c>
      <c r="I2" s="2" t="inlineStr">
        <is>
          <t>Pakistan</t>
        </is>
      </c>
      <c r="J2" s="6" t="n">
        <v>12500</v>
      </c>
      <c r="K2" s="2" t="inlineStr">
        <is>
          <t>Active</t>
        </is>
      </c>
    </row>
    <row r="3">
      <c r="A3" s="2" t="n">
        <v>24</v>
      </c>
      <c r="B3" s="2" t="inlineStr">
        <is>
          <t>Exact duplicate</t>
        </is>
      </c>
      <c r="C3" s="2" t="n">
        <v>8</v>
      </c>
      <c r="D3" s="2" t="inlineStr">
        <is>
          <t>Usman Ali</t>
        </is>
      </c>
      <c r="E3" s="2" t="inlineStr">
        <is>
          <t>usman.ali@gmail.com</t>
        </is>
      </c>
      <c r="F3" s="2" t="inlineStr">
        <is>
          <t>+923451239876</t>
        </is>
      </c>
      <c r="G3" s="3" t="n">
        <v>45860</v>
      </c>
      <c r="H3" s="2" t="inlineStr">
        <is>
          <t>Jamshoro</t>
        </is>
      </c>
      <c r="I3" s="2" t="inlineStr">
        <is>
          <t>Pakistan</t>
        </is>
      </c>
      <c r="J3" s="6" t="n"/>
      <c r="K3" s="2" t="inlineStr">
        <is>
          <t>Inactive</t>
        </is>
      </c>
    </row>
    <row r="4">
      <c r="A4" s="2" t="n">
        <v>26</v>
      </c>
      <c r="B4" s="2" t="inlineStr">
        <is>
          <t>Exact duplicate</t>
        </is>
      </c>
      <c r="C4" s="2" t="n">
        <v>12</v>
      </c>
      <c r="D4" s="2" t="inlineStr">
        <is>
          <t>Zainab Shah</t>
        </is>
      </c>
      <c r="E4" s="2" t="inlineStr">
        <is>
          <t>zainab.shah@gmail.com</t>
        </is>
      </c>
      <c r="F4" s="2" t="inlineStr">
        <is>
          <t>+923334445566</t>
        </is>
      </c>
      <c r="G4" s="3" t="n">
        <v>45733</v>
      </c>
      <c r="H4" s="2" t="inlineStr">
        <is>
          <t>Larkana</t>
        </is>
      </c>
      <c r="I4" s="2" t="inlineStr">
        <is>
          <t>Pakistan</t>
        </is>
      </c>
      <c r="J4" s="6" t="n">
        <v>9999</v>
      </c>
      <c r="K4" s="2" t="inlineStr">
        <is>
          <t>Active</t>
        </is>
      </c>
    </row>
    <row r="5">
      <c r="A5" s="2" t="n">
        <v>28</v>
      </c>
      <c r="B5" s="2" t="inlineStr">
        <is>
          <t>Exact duplicate</t>
        </is>
      </c>
      <c r="C5" s="2" t="n">
        <v>10</v>
      </c>
      <c r="D5" s="2" t="inlineStr">
        <is>
          <t>Hassan Raza</t>
        </is>
      </c>
      <c r="E5" s="2" t="inlineStr">
        <is>
          <t>hassan.raza@company.pk</t>
        </is>
      </c>
      <c r="F5" s="2" t="inlineStr">
        <is>
          <t>+923015554433</t>
        </is>
      </c>
      <c r="G5" s="3" t="n">
        <v>45627</v>
      </c>
      <c r="H5" s="2" t="inlineStr">
        <is>
          <t>Karachi</t>
        </is>
      </c>
      <c r="I5" s="2" t="inlineStr">
        <is>
          <t>Pakistan</t>
        </is>
      </c>
      <c r="J5" s="6" t="n">
        <v>-2500</v>
      </c>
      <c r="K5" s="2" t="inlineStr">
        <is>
          <t>Inactive</t>
        </is>
      </c>
    </row>
    <row r="6">
      <c r="A6" s="2" t="n">
        <v>23</v>
      </c>
      <c r="B6" s="2" t="inlineStr">
        <is>
          <t>Duplicate email</t>
        </is>
      </c>
      <c r="C6" s="2" t="n">
        <v>6</v>
      </c>
      <c r="D6" s="2" t="inlineStr">
        <is>
          <t>Bilal Ahmed</t>
        </is>
      </c>
      <c r="E6" s="2" t="inlineStr">
        <is>
          <t>bilal.ahmed@outlook.com</t>
        </is>
      </c>
      <c r="F6" s="2" t="n"/>
      <c r="G6" s="3" t="n">
        <v>45699</v>
      </c>
      <c r="H6" s="2" t="n"/>
      <c r="I6" s="2" t="inlineStr">
        <is>
          <t>Pakistan</t>
        </is>
      </c>
      <c r="J6" s="6" t="n">
        <v>8000</v>
      </c>
      <c r="K6" s="2" t="inlineStr">
        <is>
          <t>Active</t>
        </is>
      </c>
    </row>
    <row r="7">
      <c r="A7" s="2" t="n">
        <v>25</v>
      </c>
      <c r="B7" s="2" t="inlineStr">
        <is>
          <t>Duplicate email</t>
        </is>
      </c>
      <c r="C7" s="2" t="n">
        <v>7</v>
      </c>
      <c r="D7" s="2" t="inlineStr">
        <is>
          <t>Sana Malik</t>
        </is>
      </c>
      <c r="E7" s="2" t="inlineStr">
        <is>
          <t>sana.malik@yahoo.com</t>
        </is>
      </c>
      <c r="F7" s="2" t="inlineStr">
        <is>
          <t>+923331112233</t>
        </is>
      </c>
      <c r="G7" s="2" t="n"/>
      <c r="H7" s="2" t="n"/>
      <c r="I7" s="2" t="n"/>
      <c r="J7" s="6" t="n"/>
      <c r="K7" s="2" t="n"/>
    </row>
    <row r="8">
      <c r="A8" s="2" t="n">
        <v>27</v>
      </c>
      <c r="B8" s="2" t="inlineStr">
        <is>
          <t>Duplicate email</t>
        </is>
      </c>
      <c r="C8" s="2" t="n">
        <v>15</v>
      </c>
      <c r="D8" s="2" t="inlineStr">
        <is>
          <t>Imran Qureshi</t>
        </is>
      </c>
      <c r="E8" s="2" t="inlineStr">
        <is>
          <t>imran.qureshi@gmail.com</t>
        </is>
      </c>
      <c r="F8" s="2" t="inlineStr">
        <is>
          <t>+923002223344</t>
        </is>
      </c>
      <c r="G8" s="3" t="n">
        <v>45809</v>
      </c>
      <c r="H8" s="2" t="n"/>
      <c r="I8" s="2" t="inlineStr">
        <is>
          <t>Pakistan</t>
        </is>
      </c>
      <c r="J8" s="6" t="n">
        <v>18000</v>
      </c>
      <c r="K8" s="2" t="inlineStr">
        <is>
          <t>Active</t>
        </is>
      </c>
    </row>
  </sheetData>
  <autoFilter ref="A1:K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5" customWidth="1" min="3" max="3"/>
    <col width="26" customWidth="1" min="4" max="4"/>
  </cols>
  <sheetData>
    <row r="1">
      <c r="A1" s="1" t="inlineStr">
        <is>
          <t>source_row</t>
        </is>
      </c>
      <c r="B1" s="1" t="inlineStr">
        <is>
          <t>column</t>
        </is>
      </c>
      <c r="C1" s="1" t="inlineStr">
        <is>
          <t>value</t>
        </is>
      </c>
      <c r="D1" s="1" t="inlineStr">
        <is>
          <t>issue</t>
        </is>
      </c>
    </row>
    <row r="2">
      <c r="A2" s="2" t="n">
        <v>20</v>
      </c>
      <c r="B2" s="2" t="inlineStr">
        <is>
          <t>email</t>
        </is>
      </c>
      <c r="C2" s="2" t="inlineStr">
        <is>
          <t>kamran.abbasi.gmail.com</t>
        </is>
      </c>
      <c r="D2" s="2" t="inlineStr">
        <is>
          <t>Invalid email format</t>
        </is>
      </c>
    </row>
    <row r="3">
      <c r="A3" s="2" t="n">
        <v>18</v>
      </c>
      <c r="B3" s="2" t="inlineStr">
        <is>
          <t>signup_date</t>
        </is>
      </c>
      <c r="C3" s="2" t="inlineStr">
        <is>
          <t>not sure</t>
        </is>
      </c>
      <c r="D3" s="2" t="inlineStr">
        <is>
          <t>Could not read as a date</t>
        </is>
      </c>
    </row>
  </sheetData>
  <autoFilter ref="A1:D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12" customWidth="1" min="4" max="4"/>
    <col width="14" customWidth="1" min="5" max="5"/>
    <col width="60" customWidth="1" min="6" max="6"/>
  </cols>
  <sheetData>
    <row r="1">
      <c r="A1" s="7" t="inlineStr">
        <is>
          <t>Data Cleaning Report</t>
        </is>
      </c>
    </row>
    <row r="2">
      <c r="A2" s="8" t="inlineStr">
        <is>
          <t>Generated by datacleaner v1.0</t>
        </is>
      </c>
    </row>
    <row r="4">
      <c r="A4" s="9" t="inlineStr">
        <is>
          <t>Source</t>
        </is>
      </c>
      <c r="B4" s="10" t="n"/>
      <c r="C4" s="10" t="n"/>
      <c r="D4" s="10" t="n"/>
      <c r="E4" s="10" t="n"/>
      <c r="F4" s="10" t="n"/>
    </row>
    <row r="5">
      <c r="A5" s="2" t="inlineStr">
        <is>
          <t>File</t>
        </is>
      </c>
      <c r="B5" s="11" t="inlineStr">
        <is>
          <t>messy_customers.xlsx</t>
        </is>
      </c>
    </row>
    <row r="6">
      <c r="A6" s="2" t="inlineStr">
        <is>
          <t>Sheet</t>
        </is>
      </c>
      <c r="B6" s="11" t="inlineStr">
        <is>
          <t>first sheet</t>
        </is>
      </c>
    </row>
    <row r="7">
      <c r="A7" s="2" t="inlineStr">
        <is>
          <t>Header found at source row</t>
        </is>
      </c>
      <c r="B7" s="11" t="n">
        <v>4</v>
      </c>
      <c r="C7" s="8" t="inlineStr">
        <is>
          <t>Title lines above the header are ignored</t>
        </is>
      </c>
    </row>
    <row r="8">
      <c r="A8" s="2" t="inlineStr">
        <is>
          <t>Processed</t>
        </is>
      </c>
      <c r="B8" s="11" t="inlineStr">
        <is>
          <t>2026-10-28 10:06</t>
        </is>
      </c>
    </row>
    <row r="10">
      <c r="A10" s="9" t="inlineStr">
        <is>
          <t>Row accounting</t>
        </is>
      </c>
      <c r="B10" s="10" t="n"/>
      <c r="C10" s="10" t="n"/>
      <c r="D10" s="10" t="n"/>
      <c r="E10" s="10" t="n"/>
      <c r="F10" s="10" t="n"/>
    </row>
    <row r="11">
      <c r="A11" s="2" t="inlineStr">
        <is>
          <t>Data rows in source</t>
        </is>
      </c>
      <c r="B11" s="11" t="n">
        <v>26</v>
      </c>
    </row>
    <row r="12">
      <c r="A12" s="2" t="inlineStr">
        <is>
          <t>Blank / footer rows removed</t>
        </is>
      </c>
      <c r="B12" s="11" t="n">
        <v>4</v>
      </c>
    </row>
    <row r="13">
      <c r="A13" s="2" t="inlineStr">
        <is>
          <t>Exact duplicates removed</t>
        </is>
      </c>
      <c r="B13" s="11">
        <f>COUNTIF('Removed Duplicates'!B:B,"Exact duplicate")</f>
        <v/>
      </c>
    </row>
    <row r="14">
      <c r="A14" s="2" t="inlineStr">
        <is>
          <t>Key-based duplicates removed</t>
        </is>
      </c>
      <c r="B14" s="11">
        <f>COUNTA('Removed Duplicates'!A:A)-1-B13</f>
        <v/>
      </c>
    </row>
    <row r="15">
      <c r="A15" s="12" t="inlineStr">
        <is>
          <t>Clean rows delivered</t>
        </is>
      </c>
      <c r="B15" s="13">
        <f>COUNTA('Clean Data'!A:A)-1</f>
        <v/>
      </c>
    </row>
    <row r="16">
      <c r="A16" s="12" t="inlineStr">
        <is>
          <t>Reconciliation (must be 0)</t>
        </is>
      </c>
      <c r="B16" s="13">
        <f>B11-B12-B13-B14-B15</f>
        <v/>
      </c>
      <c r="C16" s="8" t="inlineStr">
        <is>
          <t>Every source row is accounted for</t>
        </is>
      </c>
    </row>
    <row r="18">
      <c r="A18" s="9" t="inlineStr">
        <is>
          <t>Quality</t>
        </is>
      </c>
      <c r="B18" s="10" t="n"/>
      <c r="C18" s="10" t="n"/>
      <c r="D18" s="10" t="n"/>
      <c r="E18" s="10" t="n"/>
      <c r="F18" s="10" t="n"/>
    </row>
    <row r="19">
      <c r="A19" s="2" t="inlineStr">
        <is>
          <t>Cells flagged for review</t>
        </is>
      </c>
      <c r="B19" s="11">
        <f>COUNTA(Issues!A:A)-1</f>
        <v/>
      </c>
      <c r="C19" s="8" t="inlineStr">
        <is>
          <t>Highlighted yellow in Clean Data; listed in Issues</t>
        </is>
      </c>
    </row>
    <row r="20">
      <c r="A20" s="2" t="inlineStr">
        <is>
          <t>Gaps filled from duplicate records</t>
        </is>
      </c>
      <c r="B20" s="11" t="n">
        <v>1</v>
      </c>
      <c r="C20" s="8" t="inlineStr">
        <is>
          <t>Missing values completed from the removed copy</t>
        </is>
      </c>
    </row>
    <row r="21">
      <c r="A21" s="2" t="inlineStr">
        <is>
          <t>Empty columns dropped</t>
        </is>
      </c>
      <c r="B21" s="11" t="inlineStr">
        <is>
          <t>none</t>
        </is>
      </c>
    </row>
    <row r="22">
      <c r="A22" s="2" t="inlineStr">
        <is>
          <t>Duplicate rules applied</t>
        </is>
      </c>
      <c r="B22" s="11" t="inlineStr">
        <is>
          <t>exact row match; email</t>
        </is>
      </c>
      <c r="C22" s="8" t="inlineStr">
        <is>
          <t>Most complete record is kept</t>
        </is>
      </c>
    </row>
    <row r="24">
      <c r="A24" s="9" t="inlineStr">
        <is>
          <t>Column report</t>
        </is>
      </c>
      <c r="B24" s="10" t="n"/>
      <c r="C24" s="10" t="n"/>
      <c r="D24" s="10" t="n"/>
      <c r="E24" s="10" t="n"/>
      <c r="F24" s="10" t="n"/>
    </row>
    <row r="25">
      <c r="A25" s="14" t="inlineStr">
        <is>
          <t>Column</t>
        </is>
      </c>
      <c r="B25" s="14" t="inlineStr">
        <is>
          <t>Detected type</t>
        </is>
      </c>
      <c r="C25" s="14" t="inlineStr">
        <is>
          <t>Cells changed</t>
        </is>
      </c>
      <c r="D25" s="14" t="inlineStr">
        <is>
          <t>Missing</t>
        </is>
      </c>
      <c r="E25" s="14" t="inlineStr">
        <is>
          <t>Completeness</t>
        </is>
      </c>
      <c r="F25" s="14" t="inlineStr">
        <is>
          <t>Example change</t>
        </is>
      </c>
    </row>
    <row r="26">
      <c r="A26" s="2" t="inlineStr">
        <is>
          <t>customer_name</t>
        </is>
      </c>
      <c r="B26" s="2" t="inlineStr">
        <is>
          <t>title</t>
        </is>
      </c>
      <c r="C26" s="2" t="n">
        <v>7</v>
      </c>
      <c r="D26" s="2" t="n">
        <v>0</v>
      </c>
      <c r="E26" s="15">
        <f>IFERROR(1-D26/$B$15,0)</f>
        <v/>
      </c>
      <c r="F26" s="2" t="inlineStr">
        <is>
          <t>'ayesha khan' -&gt; 'Ayesha Khan'; '  Bilal   Ahmed ' -&gt; 'Bilal Ahmed'</t>
        </is>
      </c>
    </row>
    <row r="27">
      <c r="A27" s="2" t="inlineStr">
        <is>
          <t>email</t>
        </is>
      </c>
      <c r="B27" s="2" t="inlineStr">
        <is>
          <t>email</t>
        </is>
      </c>
      <c r="C27" s="2" t="n">
        <v>4</v>
      </c>
      <c r="D27" s="2" t="n">
        <v>0</v>
      </c>
      <c r="E27" s="15">
        <f>IFERROR(1-D27/$B$15,0)</f>
        <v/>
      </c>
      <c r="F27" s="2" t="inlineStr">
        <is>
          <t>'Ayesha.Khan@gmail.com' -&gt; 'ayesha.khan@gmail.com'; 'ayesha.khan@gmail.com ' -&gt; 'ayesha.khan@gmail.com'</t>
        </is>
      </c>
    </row>
    <row r="28">
      <c r="A28" s="2" t="inlineStr">
        <is>
          <t>phone</t>
        </is>
      </c>
      <c r="B28" s="2" t="inlineStr">
        <is>
          <t>phone</t>
        </is>
      </c>
      <c r="C28" s="2" t="n">
        <v>19</v>
      </c>
      <c r="D28" s="2" t="n">
        <v>0</v>
      </c>
      <c r="E28" s="15">
        <f>IFERROR(1-D28/$B$15,0)</f>
        <v/>
      </c>
      <c r="F28" s="2" t="inlineStr">
        <is>
          <t>'0300-1234567' -&gt; '+923001234567'; '0321 7654321' -&gt; '+923217654321'</t>
        </is>
      </c>
    </row>
    <row r="29">
      <c r="A29" s="2" t="inlineStr">
        <is>
          <t>signup_date</t>
        </is>
      </c>
      <c r="B29" s="2" t="inlineStr">
        <is>
          <t>date</t>
        </is>
      </c>
      <c r="C29" s="2" t="n">
        <v>15</v>
      </c>
      <c r="D29" s="2" t="n">
        <v>0</v>
      </c>
      <c r="E29" s="15">
        <f>IFERROR(1-D29/$B$15,0)</f>
        <v/>
      </c>
      <c r="F29" s="2" t="inlineStr">
        <is>
          <t>'13/05/2025' -&gt; '2025-05-13'; '5 Jan 2025' -&gt; '2025-01-05'</t>
        </is>
      </c>
    </row>
    <row r="30">
      <c r="A30" s="2" t="inlineStr">
        <is>
          <t>city</t>
        </is>
      </c>
      <c r="B30" s="2" t="inlineStr">
        <is>
          <t>title</t>
        </is>
      </c>
      <c r="C30" s="2" t="n">
        <v>4</v>
      </c>
      <c r="D30" s="2" t="n">
        <v>0</v>
      </c>
      <c r="E30" s="15">
        <f>IFERROR(1-D30/$B$15,0)</f>
        <v/>
      </c>
      <c r="F30" s="2" t="inlineStr">
        <is>
          <t>'karachi' -&gt; 'Karachi'; 'LAHORE' -&gt; 'Lahore'</t>
        </is>
      </c>
    </row>
    <row r="31">
      <c r="A31" s="2" t="inlineStr">
        <is>
          <t>country</t>
        </is>
      </c>
      <c r="B31" s="2" t="inlineStr">
        <is>
          <t>country</t>
        </is>
      </c>
      <c r="C31" s="2" t="n">
        <v>5</v>
      </c>
      <c r="D31" s="2" t="n">
        <v>0</v>
      </c>
      <c r="E31" s="15">
        <f>IFERROR(1-D31/$B$15,0)</f>
        <v/>
      </c>
      <c r="F31" s="2" t="inlineStr">
        <is>
          <t>'PK' -&gt; 'Pakistan'; 'pakistan' -&gt; 'Pakistan'</t>
        </is>
      </c>
    </row>
    <row r="32">
      <c r="A32" s="2" t="inlineStr">
        <is>
          <t>order_amount_rs</t>
        </is>
      </c>
      <c r="B32" s="2" t="inlineStr">
        <is>
          <t>number</t>
        </is>
      </c>
      <c r="C32" s="2" t="n">
        <v>15</v>
      </c>
      <c r="D32" s="2" t="n">
        <v>2</v>
      </c>
      <c r="E32" s="15">
        <f>IFERROR(1-D32/$B$15,0)</f>
        <v/>
      </c>
      <c r="F32" s="2" t="inlineStr">
        <is>
          <t>'Rs 12,500' -&gt; '12500'; '8,000' -&gt; '8000'</t>
        </is>
      </c>
    </row>
    <row r="33">
      <c r="A33" s="2" t="inlineStr">
        <is>
          <t>status</t>
        </is>
      </c>
      <c r="B33" s="2" t="inlineStr">
        <is>
          <t>category</t>
        </is>
      </c>
      <c r="C33" s="2" t="n">
        <v>4</v>
      </c>
      <c r="D33" s="2" t="n">
        <v>0</v>
      </c>
      <c r="E33" s="15">
        <f>IFERROR(1-D33/$B$15,0)</f>
        <v/>
      </c>
      <c r="F33" s="2" t="inlineStr">
        <is>
          <t>'active' -&gt; 'Active'; 'ACTIVE' -&gt; 'Active'</t>
        </is>
      </c>
    </row>
    <row r="35">
      <c r="A35" s="12" t="inlineStr">
        <is>
          <t>Notes</t>
        </is>
      </c>
    </row>
    <row r="36">
      <c r="A36" s="8" t="inlineStr">
        <is>
          <t>Cells changed counts all source rows before duplicate removal.</t>
        </is>
      </c>
    </row>
    <row r="37">
      <c r="A37" s="8" t="inlineStr">
        <is>
          <t>Currency symbols/labels are stripped from numbers; assumes one currency per column.</t>
        </is>
      </c>
    </row>
    <row r="38">
      <c r="A38" s="8" t="inlineStr">
        <is>
          <t>Dates are written as yyyy-mm-dd; day/month order is set with --monthfirst.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2026-10-28T05:06:06Z</dcterms:created>
  <dcterms:modified xmlns:dcterms="http://purl.org/dc/terms/" xmlns:xsi="http://www.w3.org/2001/XMLSchema-instance" xsi:type="dcterms:W3CDTF">2026-10-28T05:06:06Z</dcterms:modified>
</cp:coreProperties>
</file>